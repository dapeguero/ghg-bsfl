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no_pollution_chambers\Versuche\2025_VD_299_Larven_BSFL_Eawag\Daten\"/>
    </mc:Choice>
  </mc:AlternateContent>
  <xr:revisionPtr revIDLastSave="0" documentId="13_ncr:1_{79BED5F2-AB3F-40A9-9149-1C6D1E766DA2}" xr6:coauthVersionLast="47" xr6:coauthVersionMax="47" xr10:uidLastSave="{00000000-0000-0000-0000-000000000000}"/>
  <bookViews>
    <workbookView xWindow="-108" yWindow="-108" windowWidth="30936" windowHeight="16776" activeTab="1" xr2:uid="{695D3DE8-E609-4963-B4DE-EFEFD03568DC}"/>
  </bookViews>
  <sheets>
    <sheet name="Experiment" sheetId="6" r:id="rId1"/>
    <sheet name="Moisture" sheetId="7" r:id="rId2"/>
    <sheet name="Recove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0" i="5" l="1"/>
  <c r="P19" i="5"/>
  <c r="P10" i="5"/>
  <c r="P9" i="5"/>
  <c r="I14" i="5" l="1"/>
  <c r="I13" i="5"/>
  <c r="I4" i="5"/>
  <c r="I3" i="5"/>
</calcChain>
</file>

<file path=xl/sharedStrings.xml><?xml version="1.0" encoding="utf-8"?>
<sst xmlns="http://schemas.openxmlformats.org/spreadsheetml/2006/main" count="162" uniqueCount="39">
  <si>
    <t>Date</t>
  </si>
  <si>
    <t>Chamber</t>
  </si>
  <si>
    <t>Recovery CH4 %</t>
  </si>
  <si>
    <t>Recovery CO2 %</t>
  </si>
  <si>
    <t>notes</t>
  </si>
  <si>
    <t>injected CH4 NL/min</t>
  </si>
  <si>
    <t>injected CO2 NL/min</t>
  </si>
  <si>
    <t>set chamber Flow rate L/sec</t>
  </si>
  <si>
    <t>Pressure delta-Pa</t>
  </si>
  <si>
    <t>small1</t>
  </si>
  <si>
    <t>small2</t>
  </si>
  <si>
    <t>x</t>
  </si>
  <si>
    <t>Rec. O2 %</t>
  </si>
  <si>
    <t>O2 Total Factor %</t>
  </si>
  <si>
    <t>Recovery N2O %</t>
  </si>
  <si>
    <t>injected, NLPM</t>
  </si>
  <si>
    <t>Rec. NH3 %</t>
  </si>
  <si>
    <t>comments</t>
  </si>
  <si>
    <t>NH3 test was done for validation only! Was used the mixture of 1% NH3 in N2. As recovery rate we use the NO2 results for NH3, due the same line and chamber for each case.</t>
  </si>
  <si>
    <t>VD 299, Larven; CO2, CH4, O2; Experiment</t>
  </si>
  <si>
    <t>VD 299, Larven; CO2, CH4, O2; Moisture</t>
  </si>
  <si>
    <t>VD 299</t>
  </si>
  <si>
    <t>CH4</t>
  </si>
  <si>
    <t>CO2</t>
  </si>
  <si>
    <t xml:space="preserve">O2 </t>
  </si>
  <si>
    <t>H</t>
  </si>
  <si>
    <t>NH3</t>
  </si>
  <si>
    <t>N2O</t>
  </si>
  <si>
    <t>chamber 1</t>
  </si>
  <si>
    <t>chamber 2</t>
  </si>
  <si>
    <t>L / 1/3 day</t>
  </si>
  <si>
    <t>L / day</t>
  </si>
  <si>
    <t>L / 1/2 day</t>
  </si>
  <si>
    <t>day</t>
  </si>
  <si>
    <t>1/3 day was from 4:00 pm to 00:00</t>
  </si>
  <si>
    <t>1/2 day from midnight till midday</t>
  </si>
  <si>
    <t>Comments:</t>
  </si>
  <si>
    <t>CO2 in red: achieved max of sensor possibility. Should be increase by about 5-10%</t>
  </si>
  <si>
    <t>O2 value in calculation is counted as "used by animal", where all the other values are counted as "produced from animal"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</si>
</sst>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4" borderId="0" xfId="0" applyFill="1"/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4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65" fontId="0" fillId="0" borderId="0" xfId="0" applyNumberFormat="1"/>
    <xf numFmtId="0" fontId="7" fillId="0" borderId="0" xfId="0" applyFont="1"/>
    <xf numFmtId="2" fontId="7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8062-E12B-4E6A-A3C2-4ECBD3377058}">
  <dimension ref="A1:O19"/>
  <sheetViews>
    <sheetView zoomScaleNormal="100" workbookViewId="0">
      <selection activeCell="B20" sqref="B20"/>
    </sheetView>
  </sheetViews>
  <sheetFormatPr baseColWidth="10" defaultRowHeight="14.4" x14ac:dyDescent="0.3"/>
  <cols>
    <col min="2" max="3" width="11.5546875" style="25"/>
    <col min="8" max="8" width="12.88671875" bestFit="1" customWidth="1"/>
    <col min="13" max="13" width="12.21875" bestFit="1" customWidth="1"/>
    <col min="15" max="15" width="12.21875" bestFit="1" customWidth="1"/>
  </cols>
  <sheetData>
    <row r="1" spans="1:15" x14ac:dyDescent="0.3">
      <c r="A1" s="23" t="s">
        <v>21</v>
      </c>
      <c r="B1" s="24"/>
      <c r="C1" s="24"/>
    </row>
    <row r="2" spans="1:15" x14ac:dyDescent="0.3">
      <c r="A2" s="38" t="s">
        <v>0</v>
      </c>
      <c r="D2" s="37" t="s">
        <v>22</v>
      </c>
      <c r="E2" s="37"/>
      <c r="F2" s="37" t="s">
        <v>23</v>
      </c>
      <c r="G2" s="37"/>
      <c r="H2" s="37" t="s">
        <v>24</v>
      </c>
      <c r="I2" s="37"/>
      <c r="J2" s="37" t="s">
        <v>25</v>
      </c>
      <c r="K2" s="37"/>
      <c r="L2" s="37" t="s">
        <v>26</v>
      </c>
      <c r="M2" s="37"/>
      <c r="N2" s="37" t="s">
        <v>27</v>
      </c>
      <c r="O2" s="37"/>
    </row>
    <row r="3" spans="1:15" x14ac:dyDescent="0.3">
      <c r="A3" s="38"/>
      <c r="C3" s="3" t="s">
        <v>33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29</v>
      </c>
      <c r="J3" t="s">
        <v>28</v>
      </c>
      <c r="K3" t="s">
        <v>29</v>
      </c>
      <c r="L3" t="s">
        <v>28</v>
      </c>
      <c r="M3" t="s">
        <v>29</v>
      </c>
      <c r="N3" t="s">
        <v>28</v>
      </c>
      <c r="O3" t="s">
        <v>29</v>
      </c>
    </row>
    <row r="4" spans="1:15" x14ac:dyDescent="0.3">
      <c r="A4" s="5">
        <v>45917</v>
      </c>
      <c r="B4" s="30" t="s">
        <v>30</v>
      </c>
      <c r="C4" s="30">
        <v>1</v>
      </c>
      <c r="D4" s="26">
        <v>-2.3489648430346285E-2</v>
      </c>
      <c r="E4" s="26">
        <v>-2.9774358771331604E-2</v>
      </c>
      <c r="F4" s="26">
        <v>5.4863126998321814</v>
      </c>
      <c r="G4" s="26">
        <v>16.605926869576631</v>
      </c>
      <c r="H4" s="26">
        <v>-7.5895683729863137</v>
      </c>
      <c r="I4" s="26">
        <v>3.0681369968094052</v>
      </c>
      <c r="J4" s="27">
        <v>7.936887241640744E-6</v>
      </c>
      <c r="K4" s="27">
        <v>1.7982227730002199E-5</v>
      </c>
      <c r="L4" s="27">
        <v>-1.4041294920695338E-3</v>
      </c>
      <c r="M4" s="27">
        <v>-1.2855175614466423E-3</v>
      </c>
      <c r="N4" s="27">
        <v>-8.8899667849076006E-2</v>
      </c>
      <c r="O4" s="27">
        <v>-8.7439019638839099E-2</v>
      </c>
    </row>
    <row r="5" spans="1:15" x14ac:dyDescent="0.3">
      <c r="A5" s="5">
        <v>45918</v>
      </c>
      <c r="B5" s="25" t="s">
        <v>31</v>
      </c>
      <c r="C5" s="25">
        <v>2</v>
      </c>
      <c r="D5" s="26">
        <v>2.1262015532097313E-2</v>
      </c>
      <c r="E5" s="26">
        <v>-2.3086402352613299E-2</v>
      </c>
      <c r="F5" s="26">
        <v>93.453657502436826</v>
      </c>
      <c r="G5" s="26">
        <v>354.32863960341257</v>
      </c>
      <c r="H5" s="26">
        <v>56.392085252904963</v>
      </c>
      <c r="I5" s="26">
        <v>324.70414302063466</v>
      </c>
      <c r="J5" s="27">
        <v>1.8755722021386783E-5</v>
      </c>
      <c r="K5" s="27">
        <v>1.3046525420872405E-4</v>
      </c>
      <c r="L5" s="27">
        <v>-7.2063509093458706E-3</v>
      </c>
      <c r="M5" s="27">
        <v>-6.6219095270648757E-3</v>
      </c>
      <c r="N5" s="27">
        <v>-0.31764005432882747</v>
      </c>
      <c r="O5" s="27">
        <v>-0.19589036957035597</v>
      </c>
    </row>
    <row r="6" spans="1:15" x14ac:dyDescent="0.3">
      <c r="A6" s="5">
        <v>45919</v>
      </c>
      <c r="B6" s="25" t="s">
        <v>31</v>
      </c>
      <c r="C6" s="33">
        <v>3</v>
      </c>
      <c r="D6" s="26">
        <v>-4.7708596880280577E-2</v>
      </c>
      <c r="E6" s="26">
        <v>-4.5171736728015756E-2</v>
      </c>
      <c r="F6" s="26">
        <v>235.78496508484344</v>
      </c>
      <c r="G6" s="26">
        <v>477.18727641653453</v>
      </c>
      <c r="H6" s="26">
        <v>194.86332220635353</v>
      </c>
      <c r="I6" s="26">
        <v>462.31510724741594</v>
      </c>
      <c r="J6" s="27">
        <v>1.0137884283203007E-4</v>
      </c>
      <c r="K6" s="27">
        <v>3.8317829448338888E-3</v>
      </c>
      <c r="L6" s="27">
        <v>-6.5701580909323688E-3</v>
      </c>
      <c r="M6" s="27">
        <v>-6.038876358161702E-3</v>
      </c>
      <c r="N6" s="27">
        <v>6.1826946556005546E-3</v>
      </c>
      <c r="O6" s="27">
        <v>4.0399852572099215E-2</v>
      </c>
    </row>
    <row r="7" spans="1:15" x14ac:dyDescent="0.3">
      <c r="A7" s="5">
        <v>45920</v>
      </c>
      <c r="B7" s="25" t="s">
        <v>31</v>
      </c>
      <c r="C7" s="33">
        <v>4</v>
      </c>
      <c r="D7" s="26">
        <v>-4.1073081150192925E-2</v>
      </c>
      <c r="E7" s="26">
        <v>-3.1867151315186262E-2</v>
      </c>
      <c r="F7" s="26">
        <v>384.14766585429754</v>
      </c>
      <c r="G7" s="26">
        <v>534.20584927856805</v>
      </c>
      <c r="H7" s="26">
        <v>343.77418725430425</v>
      </c>
      <c r="I7" s="26">
        <v>521.21818679184139</v>
      </c>
      <c r="J7" s="27">
        <v>1.0654405296230407E-3</v>
      </c>
      <c r="K7" s="27">
        <v>7.9658344436137774E-3</v>
      </c>
      <c r="L7" s="27">
        <v>-5.3594572908565409E-3</v>
      </c>
      <c r="M7" s="27">
        <v>-5.046941421461601E-3</v>
      </c>
      <c r="N7" s="27">
        <v>2.7133074813884099E-2</v>
      </c>
      <c r="O7" s="27">
        <v>3.4565001846624734E-2</v>
      </c>
    </row>
    <row r="8" spans="1:15" x14ac:dyDescent="0.3">
      <c r="A8" s="5">
        <v>45921</v>
      </c>
      <c r="B8" s="25" t="s">
        <v>31</v>
      </c>
      <c r="C8" s="33">
        <v>5</v>
      </c>
      <c r="D8" s="26">
        <v>-1.68208461124397E-2</v>
      </c>
      <c r="E8" s="26">
        <v>-2.5096272126531111E-2</v>
      </c>
      <c r="F8" s="26">
        <v>663.30986481545449</v>
      </c>
      <c r="G8" s="26">
        <v>686.6398462180947</v>
      </c>
      <c r="H8" s="29">
        <v>610.98803916380132</v>
      </c>
      <c r="I8" s="29">
        <v>676.66373813163909</v>
      </c>
      <c r="J8" s="27">
        <v>3.98609541942081E-3</v>
      </c>
      <c r="K8" s="27">
        <v>5.9895547198756333E-3</v>
      </c>
      <c r="L8" s="27">
        <v>0.28321473201358149</v>
      </c>
      <c r="M8" s="27">
        <v>0.64280264476195759</v>
      </c>
      <c r="N8" s="27">
        <v>2.1496424469546294E-2</v>
      </c>
      <c r="O8" s="27">
        <v>2.9692018823454295E-2</v>
      </c>
    </row>
    <row r="9" spans="1:15" x14ac:dyDescent="0.3">
      <c r="A9" s="5">
        <v>45922</v>
      </c>
      <c r="B9" s="25" t="s">
        <v>31</v>
      </c>
      <c r="C9" s="33">
        <v>6</v>
      </c>
      <c r="D9" s="26">
        <v>-2.6652962839144628E-2</v>
      </c>
      <c r="E9" s="26">
        <v>-3.4889144510155248E-2</v>
      </c>
      <c r="F9" s="26">
        <v>458.28515693710756</v>
      </c>
      <c r="G9" s="26">
        <v>442.13207939980907</v>
      </c>
      <c r="H9" s="26">
        <v>456.49245919580983</v>
      </c>
      <c r="I9" s="26">
        <v>464.34652089328478</v>
      </c>
      <c r="J9" s="27">
        <v>1.8521520321242598E-3</v>
      </c>
      <c r="K9" s="27">
        <v>1.6101447038083898E-3</v>
      </c>
      <c r="L9" s="27">
        <v>3.9530251128853489</v>
      </c>
      <c r="M9" s="27">
        <v>2.5518772399412599</v>
      </c>
      <c r="N9" s="27">
        <v>2.8735521614252833E-2</v>
      </c>
      <c r="O9" s="27">
        <v>3.3018486467598911E-2</v>
      </c>
    </row>
    <row r="10" spans="1:15" x14ac:dyDescent="0.3">
      <c r="A10" s="5">
        <v>45923</v>
      </c>
      <c r="B10" s="25" t="s">
        <v>31</v>
      </c>
      <c r="C10" s="33">
        <v>7</v>
      </c>
      <c r="D10" s="26">
        <v>-3.0390172040340016E-2</v>
      </c>
      <c r="E10" s="26">
        <v>-4.5254211277268398E-2</v>
      </c>
      <c r="F10" s="26">
        <v>201.58609831865806</v>
      </c>
      <c r="G10" s="26">
        <v>221.67487500945447</v>
      </c>
      <c r="H10" s="26">
        <v>212.92357487098801</v>
      </c>
      <c r="I10" s="26">
        <v>224.38300716182209</v>
      </c>
      <c r="J10" s="27">
        <v>3.1153786694139847E-4</v>
      </c>
      <c r="K10" s="27">
        <v>3.3378003518627793E-4</v>
      </c>
      <c r="L10" s="27">
        <v>4.0783620963936995</v>
      </c>
      <c r="M10" s="27">
        <v>3.3496047116611516</v>
      </c>
      <c r="N10" s="27">
        <v>2.7850254911342583E-2</v>
      </c>
      <c r="O10" s="27">
        <v>2.9480143144699471E-2</v>
      </c>
    </row>
    <row r="11" spans="1:15" x14ac:dyDescent="0.3">
      <c r="A11" s="5">
        <v>45924</v>
      </c>
      <c r="B11" s="25" t="s">
        <v>31</v>
      </c>
      <c r="C11" s="33">
        <v>8</v>
      </c>
      <c r="D11" s="26">
        <v>-2.4629623382014378E-2</v>
      </c>
      <c r="E11" s="26">
        <v>-3.4701416486444848E-2</v>
      </c>
      <c r="F11" s="26">
        <v>104.97934674141902</v>
      </c>
      <c r="G11" s="26">
        <v>114.20954840396085</v>
      </c>
      <c r="H11" s="26">
        <v>107.65470714778002</v>
      </c>
      <c r="I11" s="26">
        <v>110.29848055667912</v>
      </c>
      <c r="J11" s="27">
        <v>1.1538060306246793E-4</v>
      </c>
      <c r="K11" s="27">
        <v>1.8022590949270817E-4</v>
      </c>
      <c r="L11" s="27">
        <v>2.1683272875440216</v>
      </c>
      <c r="M11" s="27">
        <v>4.0063566398066648</v>
      </c>
      <c r="N11" s="27">
        <v>2.9735849699365161E-2</v>
      </c>
      <c r="O11" s="27">
        <v>2.759988945205025E-2</v>
      </c>
    </row>
    <row r="12" spans="1:15" x14ac:dyDescent="0.3">
      <c r="A12" s="5">
        <v>45925</v>
      </c>
      <c r="B12" s="25" t="s">
        <v>31</v>
      </c>
      <c r="C12" s="33">
        <v>9</v>
      </c>
      <c r="D12" s="26">
        <v>-3.3117978932407525E-2</v>
      </c>
      <c r="E12" s="26">
        <v>-5.2272015157490408E-2</v>
      </c>
      <c r="F12" s="26">
        <v>69.8988894940411</v>
      </c>
      <c r="G12" s="26">
        <v>72.96784545733388</v>
      </c>
      <c r="H12" s="26">
        <v>65.504312951995715</v>
      </c>
      <c r="I12" s="26">
        <v>64.365305854861475</v>
      </c>
      <c r="J12" s="27">
        <v>7.2873361313606291E-5</v>
      </c>
      <c r="K12" s="27">
        <v>1.2390213908945185E-4</v>
      </c>
      <c r="L12" s="27">
        <v>1.4216566912125139</v>
      </c>
      <c r="M12" s="27">
        <v>3.5153763890408669</v>
      </c>
      <c r="N12" s="27">
        <v>2.8897949299443379E-2</v>
      </c>
      <c r="O12" s="27">
        <v>2.7117591224034933E-2</v>
      </c>
    </row>
    <row r="13" spans="1:15" x14ac:dyDescent="0.3">
      <c r="A13" s="5">
        <v>45926</v>
      </c>
      <c r="B13" s="31" t="s">
        <v>32</v>
      </c>
      <c r="C13" s="31">
        <v>10</v>
      </c>
      <c r="D13" s="26">
        <v>-1.7820353496025107E-2</v>
      </c>
      <c r="E13" s="26">
        <v>-5.6580718201670955E-3</v>
      </c>
      <c r="F13" s="26">
        <v>28.784943131665429</v>
      </c>
      <c r="G13" s="26">
        <v>31.122073916109834</v>
      </c>
      <c r="H13" s="26">
        <v>24.607104786358676</v>
      </c>
      <c r="I13" s="26">
        <v>26.408708506758217</v>
      </c>
      <c r="J13" s="27">
        <v>2.5279749910105232E-5</v>
      </c>
      <c r="K13" s="27">
        <v>5.9603710157029833E-5</v>
      </c>
      <c r="L13" s="27">
        <v>0.64929852905409713</v>
      </c>
      <c r="M13" s="27">
        <v>1.4133203108589096</v>
      </c>
      <c r="N13" s="27">
        <v>1.4906064272437309E-2</v>
      </c>
      <c r="O13" s="27">
        <v>1.3938892364061432E-2</v>
      </c>
    </row>
    <row r="16" spans="1:15" x14ac:dyDescent="0.3">
      <c r="A16" s="23" t="s">
        <v>36</v>
      </c>
      <c r="B16" s="35" t="s">
        <v>34</v>
      </c>
    </row>
    <row r="17" spans="2:2" x14ac:dyDescent="0.3">
      <c r="B17" s="34" t="s">
        <v>35</v>
      </c>
    </row>
    <row r="18" spans="2:2" x14ac:dyDescent="0.3">
      <c r="B18" s="28" t="s">
        <v>37</v>
      </c>
    </row>
    <row r="19" spans="2:2" x14ac:dyDescent="0.3">
      <c r="B19" s="4" t="s">
        <v>38</v>
      </c>
    </row>
  </sheetData>
  <mergeCells count="7">
    <mergeCell ref="L2:M2"/>
    <mergeCell ref="N2:O2"/>
    <mergeCell ref="A2:A3"/>
    <mergeCell ref="D2:E2"/>
    <mergeCell ref="F2:G2"/>
    <mergeCell ref="H2:I2"/>
    <mergeCell ref="J2:K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5C27-054A-4ADE-B44B-BB9E589C3E49}">
  <dimension ref="A1:O36"/>
  <sheetViews>
    <sheetView tabSelected="1" topLeftCell="B1" zoomScale="85" zoomScaleNormal="85" workbookViewId="0">
      <selection activeCell="B1" sqref="B1"/>
    </sheetView>
  </sheetViews>
  <sheetFormatPr baseColWidth="10" defaultRowHeight="14.4" x14ac:dyDescent="0.3"/>
  <cols>
    <col min="2" max="2" width="7.5546875" customWidth="1"/>
  </cols>
  <sheetData>
    <row r="1" spans="1:15" x14ac:dyDescent="0.3">
      <c r="A1" s="23" t="s">
        <v>21</v>
      </c>
      <c r="B1" s="23"/>
      <c r="C1" s="24"/>
    </row>
    <row r="2" spans="1:15" x14ac:dyDescent="0.3">
      <c r="A2" s="38" t="s">
        <v>0</v>
      </c>
      <c r="B2" s="3"/>
      <c r="C2" s="25"/>
      <c r="D2" s="37" t="s">
        <v>22</v>
      </c>
      <c r="E2" s="37"/>
      <c r="F2" s="37" t="s">
        <v>23</v>
      </c>
      <c r="G2" s="37"/>
      <c r="H2" s="37" t="s">
        <v>24</v>
      </c>
      <c r="I2" s="37"/>
      <c r="J2" s="37" t="s">
        <v>25</v>
      </c>
      <c r="K2" s="37"/>
      <c r="L2" s="37" t="s">
        <v>26</v>
      </c>
      <c r="M2" s="37"/>
      <c r="N2" s="37" t="s">
        <v>27</v>
      </c>
      <c r="O2" s="37"/>
    </row>
    <row r="3" spans="1:15" x14ac:dyDescent="0.3">
      <c r="A3" s="38"/>
      <c r="B3" s="3" t="s">
        <v>33</v>
      </c>
      <c r="C3" s="25"/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29</v>
      </c>
      <c r="J3" t="s">
        <v>28</v>
      </c>
      <c r="K3" t="s">
        <v>29</v>
      </c>
      <c r="L3" t="s">
        <v>28</v>
      </c>
      <c r="M3" t="s">
        <v>29</v>
      </c>
      <c r="N3" t="s">
        <v>28</v>
      </c>
      <c r="O3" t="s">
        <v>29</v>
      </c>
    </row>
    <row r="4" spans="1:15" x14ac:dyDescent="0.3">
      <c r="A4" s="5">
        <v>45927</v>
      </c>
      <c r="B4" s="32">
        <v>11</v>
      </c>
      <c r="C4" s="25" t="s">
        <v>31</v>
      </c>
      <c r="D4" s="26">
        <v>-6.3101736728205821E-2</v>
      </c>
      <c r="E4" s="26">
        <v>-5.3844772482526282E-2</v>
      </c>
      <c r="F4" s="26">
        <v>0.84506461908156449</v>
      </c>
      <c r="G4" s="26">
        <v>8.7248310732972527</v>
      </c>
      <c r="H4" s="26">
        <v>-31.244928558511209</v>
      </c>
      <c r="I4" s="26">
        <v>-18.023574033542083</v>
      </c>
      <c r="J4" s="36">
        <v>1.0075188742362296E-5</v>
      </c>
      <c r="K4" s="36">
        <v>2.9126746582584056E-5</v>
      </c>
      <c r="L4" s="27">
        <v>0.56988433671023808</v>
      </c>
      <c r="M4" s="27">
        <v>0.86604157157294304</v>
      </c>
      <c r="N4" s="27">
        <v>2.6990744012996708E-2</v>
      </c>
      <c r="O4" s="27">
        <v>2.9459050905085094E-2</v>
      </c>
    </row>
    <row r="5" spans="1:15" x14ac:dyDescent="0.3">
      <c r="A5" s="5">
        <v>45928</v>
      </c>
      <c r="B5" s="32">
        <v>12</v>
      </c>
      <c r="C5" s="25" t="s">
        <v>31</v>
      </c>
      <c r="D5" s="26">
        <v>-6.3807803558838277E-2</v>
      </c>
      <c r="E5" s="26">
        <v>-5.5024284396686697E-2</v>
      </c>
      <c r="F5" s="26">
        <v>0.68650539883589856</v>
      </c>
      <c r="G5" s="26">
        <v>4.9911139030423053</v>
      </c>
      <c r="H5" s="26">
        <v>-29.535388937305154</v>
      </c>
      <c r="I5" s="26">
        <v>-20.108236272563712</v>
      </c>
      <c r="J5" s="36">
        <v>4.3346399183193578E-6</v>
      </c>
      <c r="K5" s="36">
        <v>1.4211346791420052E-5</v>
      </c>
      <c r="L5" s="27">
        <v>0.40224316604258548</v>
      </c>
      <c r="M5" s="27">
        <v>0.46457999597562682</v>
      </c>
      <c r="N5" s="27">
        <v>2.6232280981846368E-2</v>
      </c>
      <c r="O5" s="27">
        <v>2.7930415375548096E-2</v>
      </c>
    </row>
    <row r="6" spans="1:15" x14ac:dyDescent="0.3">
      <c r="A6" s="5">
        <v>45929</v>
      </c>
      <c r="B6" s="32">
        <v>13</v>
      </c>
      <c r="C6" s="25" t="s">
        <v>31</v>
      </c>
      <c r="D6" s="26">
        <v>-7.998826372573381E-2</v>
      </c>
      <c r="E6" s="26">
        <v>-6.3589213903327349E-2</v>
      </c>
      <c r="F6" s="26">
        <v>0.5086760017529931</v>
      </c>
      <c r="G6" s="26">
        <v>3.2149391499512672</v>
      </c>
      <c r="H6" s="26">
        <v>-31.237971769672978</v>
      </c>
      <c r="I6" s="26">
        <v>-27.327848019245643</v>
      </c>
      <c r="J6" s="36">
        <v>1.0553995366990805E-5</v>
      </c>
      <c r="K6" s="36">
        <v>2.4131672188383703E-5</v>
      </c>
      <c r="L6" s="27">
        <v>0.30486259690179912</v>
      </c>
      <c r="M6" s="27">
        <v>0.32071842496867187</v>
      </c>
      <c r="N6" s="27">
        <v>2.6483222521052768E-2</v>
      </c>
      <c r="O6" s="27">
        <v>2.6968304938731931E-2</v>
      </c>
    </row>
    <row r="7" spans="1:15" x14ac:dyDescent="0.3">
      <c r="A7" s="5">
        <v>45930</v>
      </c>
      <c r="B7" s="32">
        <v>14</v>
      </c>
      <c r="C7" s="25" t="s">
        <v>31</v>
      </c>
      <c r="D7" s="26">
        <v>-5.830495206369303E-2</v>
      </c>
      <c r="E7" s="26">
        <v>-6.2387822374751434E-2</v>
      </c>
      <c r="F7" s="26">
        <v>0.71317599202641302</v>
      </c>
      <c r="G7" s="26">
        <v>2.325963677031837</v>
      </c>
      <c r="H7" s="26">
        <v>-31.866689925172189</v>
      </c>
      <c r="I7" s="26">
        <v>-29.006206954909896</v>
      </c>
      <c r="J7" s="36">
        <v>5.1329887128607919E-7</v>
      </c>
      <c r="K7" s="36">
        <v>1.2465244066709556E-5</v>
      </c>
      <c r="L7" s="27">
        <v>0.23751816624815691</v>
      </c>
      <c r="M7" s="27">
        <v>0.25085649574815866</v>
      </c>
      <c r="N7" s="27">
        <v>2.6523222969968584E-2</v>
      </c>
      <c r="O7" s="27">
        <v>2.7951043533436325E-2</v>
      </c>
    </row>
    <row r="8" spans="1:15" x14ac:dyDescent="0.3">
      <c r="A8" s="5">
        <v>45931</v>
      </c>
      <c r="B8" s="32">
        <v>15</v>
      </c>
      <c r="C8" s="25" t="s">
        <v>31</v>
      </c>
      <c r="D8" s="26">
        <v>-4.8284253731375362E-2</v>
      </c>
      <c r="E8" s="26">
        <v>-5.9472690856702828E-2</v>
      </c>
      <c r="F8" s="26">
        <v>3.81674800515166</v>
      </c>
      <c r="G8" s="26">
        <v>2.3454978749117514</v>
      </c>
      <c r="H8" s="26">
        <v>-27.77971423624367</v>
      </c>
      <c r="I8" s="26">
        <v>-25.236023715136053</v>
      </c>
      <c r="J8" s="36">
        <v>-9.883804864596607E-8</v>
      </c>
      <c r="K8" s="36">
        <v>4.0060965484247568E-6</v>
      </c>
      <c r="L8" s="27">
        <v>0.17617850251846454</v>
      </c>
      <c r="M8" s="27">
        <v>0.19697293130413762</v>
      </c>
      <c r="N8" s="27">
        <v>2.7027681915109018E-2</v>
      </c>
      <c r="O8" s="27">
        <v>2.8449736381475937E-2</v>
      </c>
    </row>
    <row r="9" spans="1:15" x14ac:dyDescent="0.3">
      <c r="A9" s="5">
        <v>45932</v>
      </c>
      <c r="B9" s="32">
        <v>16</v>
      </c>
      <c r="C9" s="25" t="s">
        <v>31</v>
      </c>
      <c r="D9" s="26">
        <v>-6.8978652139216973E-2</v>
      </c>
      <c r="E9" s="26">
        <v>-7.5894964756120634E-2</v>
      </c>
      <c r="F9" s="26">
        <v>12.756593456612343</v>
      </c>
      <c r="G9" s="26">
        <v>1.9400431462799803</v>
      </c>
      <c r="H9" s="26">
        <v>-13.649660530124835</v>
      </c>
      <c r="I9" s="26">
        <v>-25.33490110835211</v>
      </c>
      <c r="J9" s="36">
        <v>3.0650192237233448E-6</v>
      </c>
      <c r="K9" s="36">
        <v>3.1761377666687579E-6</v>
      </c>
      <c r="L9" s="27">
        <v>0.14324392100363284</v>
      </c>
      <c r="M9" s="27">
        <v>0.16901683286745758</v>
      </c>
      <c r="N9" s="27">
        <v>2.9767914427265254E-2</v>
      </c>
      <c r="O9" s="27">
        <v>2.9864562576534661E-2</v>
      </c>
    </row>
    <row r="10" spans="1:15" x14ac:dyDescent="0.3">
      <c r="A10" s="5">
        <v>45933</v>
      </c>
      <c r="B10" s="32">
        <v>17</v>
      </c>
      <c r="C10" s="25" t="s">
        <v>31</v>
      </c>
      <c r="D10" s="26">
        <v>-5.4518784850077703E-2</v>
      </c>
      <c r="E10" s="26">
        <v>-6.6248794858253898E-2</v>
      </c>
      <c r="F10" s="26">
        <v>6.9865250353272588</v>
      </c>
      <c r="G10" s="26">
        <v>1.011518979219771</v>
      </c>
      <c r="H10" s="26">
        <v>-21.815551919386248</v>
      </c>
      <c r="I10" s="26">
        <v>-28.566866627984997</v>
      </c>
      <c r="J10" s="36">
        <v>2.0409324604236633E-7</v>
      </c>
      <c r="K10" s="36">
        <v>-2.0491865074534803E-7</v>
      </c>
      <c r="L10" s="27">
        <v>0.14879336403086846</v>
      </c>
      <c r="M10" s="27">
        <v>0.15815881785675437</v>
      </c>
      <c r="N10" s="27">
        <v>2.902304961824732E-2</v>
      </c>
      <c r="O10" s="27">
        <v>3.1361493106327507E-2</v>
      </c>
    </row>
    <row r="11" spans="1:15" x14ac:dyDescent="0.3">
      <c r="A11" s="5">
        <v>45934</v>
      </c>
      <c r="B11" s="32">
        <v>18</v>
      </c>
      <c r="C11" s="25" t="s">
        <v>31</v>
      </c>
      <c r="D11" s="26">
        <v>-3.2118900386471402E-2</v>
      </c>
      <c r="E11" s="26">
        <v>-2.1204787519090669E-2</v>
      </c>
      <c r="F11" s="26">
        <v>3.2820371526172352</v>
      </c>
      <c r="G11" s="26">
        <v>1.1079433709108468</v>
      </c>
      <c r="H11" s="26">
        <v>-28.912277778954657</v>
      </c>
      <c r="I11" s="26">
        <v>-26.978277832644594</v>
      </c>
      <c r="J11" s="36">
        <v>9.5197890404097496E-6</v>
      </c>
      <c r="K11" s="36">
        <v>1.1501202715924961E-5</v>
      </c>
      <c r="L11" s="27">
        <v>0.1507991037265424</v>
      </c>
      <c r="M11" s="27">
        <v>0.14747615948197995</v>
      </c>
      <c r="N11" s="27">
        <v>2.6726943055089925E-2</v>
      </c>
      <c r="O11" s="27">
        <v>2.8275964001200551E-2</v>
      </c>
    </row>
    <row r="12" spans="1:15" x14ac:dyDescent="0.3">
      <c r="A12" s="5">
        <v>45935</v>
      </c>
      <c r="B12" s="32">
        <v>19</v>
      </c>
      <c r="C12" s="25" t="s">
        <v>31</v>
      </c>
      <c r="D12" s="26">
        <v>-4.906917081165877E-2</v>
      </c>
      <c r="E12" s="26">
        <v>-5.1319126329000077E-2</v>
      </c>
      <c r="F12" s="26">
        <v>1.3762769455064623</v>
      </c>
      <c r="G12" s="26">
        <v>0.87364189341899023</v>
      </c>
      <c r="H12" s="26">
        <v>-31.537278570488581</v>
      </c>
      <c r="I12" s="26">
        <v>-30.070400714754186</v>
      </c>
      <c r="J12" s="36">
        <v>1.0725360233200106E-5</v>
      </c>
      <c r="K12" s="36">
        <v>1.1771475428481859E-5</v>
      </c>
      <c r="L12" s="27">
        <v>0.14889211674783334</v>
      </c>
      <c r="M12" s="27">
        <v>0.13798870743041458</v>
      </c>
      <c r="N12" s="27">
        <v>2.7884541562804049E-2</v>
      </c>
      <c r="O12" s="27">
        <v>2.8400493951426953E-2</v>
      </c>
    </row>
    <row r="13" spans="1:15" x14ac:dyDescent="0.3">
      <c r="A13" s="5">
        <v>45936</v>
      </c>
      <c r="B13" s="32">
        <v>20</v>
      </c>
      <c r="C13" s="25" t="s">
        <v>31</v>
      </c>
      <c r="D13" s="26">
        <v>-3.6163376922618895E-2</v>
      </c>
      <c r="E13" s="26">
        <v>-3.9600551130516359E-2</v>
      </c>
      <c r="F13" s="26">
        <v>7.4651400020103571</v>
      </c>
      <c r="G13" s="26">
        <v>13.026489097061955</v>
      </c>
      <c r="H13" s="26">
        <v>-25.136623860510568</v>
      </c>
      <c r="I13" s="26">
        <v>-14.326396890385984</v>
      </c>
      <c r="J13" s="36">
        <v>7.3583719307527787E-6</v>
      </c>
      <c r="K13" s="36">
        <v>7.2481445791446945E-6</v>
      </c>
      <c r="L13" s="27">
        <v>0.12425641157970253</v>
      </c>
      <c r="M13" s="27">
        <v>0.13280191572297209</v>
      </c>
      <c r="N13" s="27">
        <v>3.0637995480875507E-2</v>
      </c>
      <c r="O13" s="27">
        <v>3.2135506552395277E-2</v>
      </c>
    </row>
    <row r="14" spans="1:15" x14ac:dyDescent="0.3">
      <c r="A14" s="5">
        <v>45937</v>
      </c>
      <c r="B14" s="32">
        <v>21</v>
      </c>
      <c r="C14" s="25" t="s">
        <v>31</v>
      </c>
      <c r="D14" s="26">
        <v>-4.1888745754931747E-2</v>
      </c>
      <c r="E14" s="26">
        <v>-5.196596665738458E-2</v>
      </c>
      <c r="F14" s="26">
        <v>37.644472544716663</v>
      </c>
      <c r="G14" s="26">
        <v>18.60972775875296</v>
      </c>
      <c r="H14" s="26">
        <v>12.000009201344488</v>
      </c>
      <c r="I14" s="26">
        <v>-6.5892792050310618</v>
      </c>
      <c r="J14" s="36">
        <v>2.1984581213555939E-3</v>
      </c>
      <c r="K14" s="36">
        <v>4.310086777966947E-5</v>
      </c>
      <c r="L14" s="27">
        <v>0.1128402331841586</v>
      </c>
      <c r="M14" s="27">
        <v>0.70342740936078019</v>
      </c>
      <c r="N14" s="27">
        <v>2.9313999608153476E-2</v>
      </c>
      <c r="O14" s="27">
        <v>3.2282260230477762E-2</v>
      </c>
    </row>
    <row r="15" spans="1:15" x14ac:dyDescent="0.3">
      <c r="A15" s="5">
        <v>45938</v>
      </c>
      <c r="B15" s="32">
        <v>22</v>
      </c>
      <c r="C15" s="25" t="s">
        <v>31</v>
      </c>
      <c r="D15" s="26">
        <v>-3.4256866186770214E-2</v>
      </c>
      <c r="E15" s="26">
        <v>-4.4988173982173897E-2</v>
      </c>
      <c r="F15" s="26">
        <v>37.628343244782705</v>
      </c>
      <c r="G15" s="26">
        <v>10.576333026940938</v>
      </c>
      <c r="H15" s="26">
        <v>14.156103440043193</v>
      </c>
      <c r="I15" s="26">
        <v>-16.496489301089024</v>
      </c>
      <c r="J15" s="36">
        <v>8.6828020935687898E-4</v>
      </c>
      <c r="K15" s="36">
        <v>3.1160434394823558E-5</v>
      </c>
      <c r="L15" s="27">
        <v>0.10421228589312548</v>
      </c>
      <c r="M15" s="27">
        <v>0.7905113912242907</v>
      </c>
      <c r="N15" s="27">
        <v>3.2895435747166961E-2</v>
      </c>
      <c r="O15" s="27">
        <v>3.2959333085845491E-2</v>
      </c>
    </row>
    <row r="16" spans="1:15" x14ac:dyDescent="0.3">
      <c r="A16" s="5">
        <v>45939</v>
      </c>
      <c r="B16" s="32">
        <v>23</v>
      </c>
      <c r="C16" s="25" t="s">
        <v>31</v>
      </c>
      <c r="D16" s="26">
        <v>-2.0499971727669892E-2</v>
      </c>
      <c r="E16" s="26">
        <v>-4.9086486049286185E-2</v>
      </c>
      <c r="F16" s="26">
        <v>30.849137502140291</v>
      </c>
      <c r="G16" s="26">
        <v>10.73817454849975</v>
      </c>
      <c r="H16" s="26">
        <v>4.0672249114112331</v>
      </c>
      <c r="I16" s="26">
        <v>-18.506452824004953</v>
      </c>
      <c r="J16" s="36">
        <v>2.4822758469046418E-4</v>
      </c>
      <c r="K16" s="36">
        <v>2.3636573126040711E-5</v>
      </c>
      <c r="L16" s="27">
        <v>8.7606200367373502E-2</v>
      </c>
      <c r="M16" s="27">
        <v>0.81002012799107603</v>
      </c>
      <c r="N16" s="27">
        <v>3.3197080699438691E-2</v>
      </c>
      <c r="O16" s="27">
        <v>3.1003756098439736E-2</v>
      </c>
    </row>
    <row r="17" spans="1:15" x14ac:dyDescent="0.3">
      <c r="A17" s="5">
        <v>45940</v>
      </c>
      <c r="B17" s="32">
        <v>24</v>
      </c>
      <c r="C17" s="25" t="s">
        <v>31</v>
      </c>
      <c r="D17" s="26">
        <v>-3.7917266066428569E-2</v>
      </c>
      <c r="E17" s="26">
        <v>-6.1421262869534053E-2</v>
      </c>
      <c r="F17" s="26">
        <v>24.5265633308357</v>
      </c>
      <c r="G17" s="26">
        <v>8.5611635936765094</v>
      </c>
      <c r="H17" s="26">
        <v>-2.197156168675376</v>
      </c>
      <c r="I17" s="26">
        <v>-19.988912603263657</v>
      </c>
      <c r="J17" s="36">
        <v>1.2795451626790484E-4</v>
      </c>
      <c r="K17" s="36">
        <v>9.7592165854998917E-6</v>
      </c>
      <c r="L17" s="27">
        <v>8.8704137744863423E-2</v>
      </c>
      <c r="M17" s="27">
        <v>0.93092302535627802</v>
      </c>
      <c r="N17" s="27">
        <v>3.0585882784527469E-2</v>
      </c>
      <c r="O17" s="27">
        <v>3.1346989044208233E-2</v>
      </c>
    </row>
    <row r="18" spans="1:15" x14ac:dyDescent="0.3">
      <c r="A18" s="5">
        <v>45941</v>
      </c>
      <c r="B18" s="32">
        <v>25</v>
      </c>
      <c r="C18" s="25" t="s">
        <v>31</v>
      </c>
      <c r="D18" s="26">
        <v>-4.0648368366531747E-2</v>
      </c>
      <c r="E18" s="26">
        <v>-5.6743128047374525E-2</v>
      </c>
      <c r="F18" s="26">
        <v>20.587985752545869</v>
      </c>
      <c r="G18" s="26">
        <v>6.2157720202664128</v>
      </c>
      <c r="H18" s="26">
        <v>-7.2632961257842137</v>
      </c>
      <c r="I18" s="26">
        <v>-23.553765441013304</v>
      </c>
      <c r="J18" s="36">
        <v>1.1329224829574388E-4</v>
      </c>
      <c r="K18" s="36">
        <v>2.4114746598782614E-5</v>
      </c>
      <c r="L18" s="27">
        <v>7.8834231616361689E-2</v>
      </c>
      <c r="M18" s="27">
        <v>0.82906391005301083</v>
      </c>
      <c r="N18" s="27">
        <v>2.961736948345689E-2</v>
      </c>
      <c r="O18" s="27">
        <v>3.0525103332906044E-2</v>
      </c>
    </row>
    <row r="19" spans="1:15" x14ac:dyDescent="0.3">
      <c r="A19" s="5">
        <v>45942</v>
      </c>
      <c r="B19" s="32">
        <v>26</v>
      </c>
      <c r="C19" s="25" t="s">
        <v>31</v>
      </c>
      <c r="D19" s="26">
        <v>-3.4319935530612314E-2</v>
      </c>
      <c r="E19" s="26">
        <v>-5.5862346188525806E-2</v>
      </c>
      <c r="F19" s="26">
        <v>18.281901969524036</v>
      </c>
      <c r="G19" s="26">
        <v>4.5717060654817159</v>
      </c>
      <c r="H19" s="26">
        <v>-9.2009072245395487</v>
      </c>
      <c r="I19" s="26">
        <v>-26.6185603845394</v>
      </c>
      <c r="J19" s="36">
        <v>6.9622341886196361E-5</v>
      </c>
      <c r="K19" s="36">
        <v>1.7425363502982553E-5</v>
      </c>
      <c r="L19" s="27">
        <v>6.6834726841017933E-2</v>
      </c>
      <c r="M19" s="27">
        <v>0.65146668603142688</v>
      </c>
      <c r="N19" s="27">
        <v>2.9662639369489627E-2</v>
      </c>
      <c r="O19" s="27">
        <v>2.9109814860607007E-2</v>
      </c>
    </row>
    <row r="20" spans="1:15" x14ac:dyDescent="0.3">
      <c r="A20" s="5">
        <v>45943</v>
      </c>
      <c r="B20" s="32">
        <v>27</v>
      </c>
      <c r="C20" s="25" t="s">
        <v>31</v>
      </c>
      <c r="D20" s="26">
        <v>-4.0738236961577204E-2</v>
      </c>
      <c r="E20" s="26">
        <v>-5.198920233801442E-2</v>
      </c>
      <c r="F20" s="26">
        <v>15.189365035621897</v>
      </c>
      <c r="G20" s="26">
        <v>3.9081308077433006</v>
      </c>
      <c r="H20" s="26">
        <v>-14.866960686081514</v>
      </c>
      <c r="I20" s="26">
        <v>-28.353107720924392</v>
      </c>
      <c r="J20" s="36">
        <v>3.6338396226859757E-5</v>
      </c>
      <c r="K20" s="36">
        <v>1.6301833610957066E-5</v>
      </c>
      <c r="L20" s="27">
        <v>5.3208583994865562E-2</v>
      </c>
      <c r="M20" s="27">
        <v>0.4769872358907119</v>
      </c>
      <c r="N20" s="27">
        <v>2.7390990585856496E-2</v>
      </c>
      <c r="O20" s="27">
        <v>2.9020653932134675E-2</v>
      </c>
    </row>
    <row r="21" spans="1:15" x14ac:dyDescent="0.3">
      <c r="A21" s="5">
        <v>45944</v>
      </c>
      <c r="B21" s="32">
        <v>28</v>
      </c>
      <c r="C21" s="25" t="s">
        <v>31</v>
      </c>
      <c r="D21" s="26">
        <v>-3.0303297625174301E-2</v>
      </c>
      <c r="E21" s="26">
        <v>-5.8338670159405782E-2</v>
      </c>
      <c r="F21" s="26">
        <v>8.6196046815602649</v>
      </c>
      <c r="G21" s="26">
        <v>2.6568285673066736</v>
      </c>
      <c r="H21" s="26">
        <v>-22.494728605680155</v>
      </c>
      <c r="I21" s="26">
        <v>-27.933921874493269</v>
      </c>
      <c r="J21" s="36">
        <v>2.2260438230046051E-6</v>
      </c>
      <c r="K21" s="36">
        <v>7.9479116378257067E-6</v>
      </c>
      <c r="L21" s="27">
        <v>4.1138690510045178E-2</v>
      </c>
      <c r="M21" s="27">
        <v>0.34410188394439312</v>
      </c>
      <c r="N21" s="27">
        <v>2.7563835666913356E-2</v>
      </c>
      <c r="O21" s="27">
        <v>2.7447909917260347E-2</v>
      </c>
    </row>
    <row r="22" spans="1:15" x14ac:dyDescent="0.3">
      <c r="A22" s="5">
        <v>45945</v>
      </c>
      <c r="B22" s="32">
        <v>29</v>
      </c>
      <c r="C22" s="25" t="s">
        <v>31</v>
      </c>
      <c r="D22" s="26">
        <v>-5.1989180066012219E-2</v>
      </c>
      <c r="E22" s="26">
        <v>-6.7377400235024656E-2</v>
      </c>
      <c r="F22" s="26">
        <v>3.0866739790606963</v>
      </c>
      <c r="G22" s="26">
        <v>2.2088773854333881</v>
      </c>
      <c r="H22" s="26">
        <v>-29.011172396297916</v>
      </c>
      <c r="I22" s="26">
        <v>-28.401439176675257</v>
      </c>
      <c r="J22" s="36">
        <v>1.8185018263937137E-6</v>
      </c>
      <c r="K22" s="36">
        <v>3.361322926275084E-6</v>
      </c>
      <c r="L22" s="27">
        <v>3.4469409165831577E-2</v>
      </c>
      <c r="M22" s="27">
        <v>0.24913293600501604</v>
      </c>
      <c r="N22" s="27">
        <v>2.6420983169845213E-2</v>
      </c>
      <c r="O22" s="27">
        <v>2.6960557232387321E-2</v>
      </c>
    </row>
    <row r="23" spans="1:15" x14ac:dyDescent="0.3">
      <c r="A23" s="5">
        <v>45946</v>
      </c>
      <c r="B23" s="32">
        <v>30</v>
      </c>
      <c r="C23" s="25" t="s">
        <v>31</v>
      </c>
      <c r="D23" s="26">
        <v>-4.4449883345665631E-2</v>
      </c>
      <c r="E23" s="26">
        <v>-4.5217385136485967E-2</v>
      </c>
      <c r="F23" s="26">
        <v>4.4077973441442637</v>
      </c>
      <c r="G23" s="26">
        <v>3.6990882580590436</v>
      </c>
      <c r="H23" s="26">
        <v>-25.806253644063585</v>
      </c>
      <c r="I23" s="26">
        <v>-27.521724407424255</v>
      </c>
      <c r="J23" s="36">
        <v>4.8429850181703135E-6</v>
      </c>
      <c r="K23" s="36">
        <v>1.6467127294323987E-5</v>
      </c>
      <c r="L23" s="27">
        <v>2.7433111399750923E-2</v>
      </c>
      <c r="M23" s="27">
        <v>0.19059931616578576</v>
      </c>
      <c r="N23" s="27">
        <v>2.7715247693832198E-2</v>
      </c>
      <c r="O23" s="27">
        <v>2.7837592115730544E-2</v>
      </c>
    </row>
    <row r="24" spans="1:15" x14ac:dyDescent="0.3">
      <c r="A24" s="5">
        <v>45947</v>
      </c>
      <c r="B24" s="32">
        <v>31</v>
      </c>
      <c r="C24" s="25" t="s">
        <v>31</v>
      </c>
      <c r="D24" s="26">
        <v>-4.5474492136679749E-2</v>
      </c>
      <c r="E24" s="26">
        <v>-5.0309100252819858E-2</v>
      </c>
      <c r="F24" s="26">
        <v>4.960987415003463</v>
      </c>
      <c r="G24" s="26">
        <v>3.0747078625366497</v>
      </c>
      <c r="H24" s="26">
        <v>-29.614028037023619</v>
      </c>
      <c r="I24" s="26">
        <v>-29.334325852107376</v>
      </c>
      <c r="J24" s="36">
        <v>5.2891946781543494E-6</v>
      </c>
      <c r="K24" s="36">
        <v>1.102260746167989E-5</v>
      </c>
      <c r="L24" s="27">
        <v>2.6317262853973407E-2</v>
      </c>
      <c r="M24" s="27">
        <v>0.1949763213800397</v>
      </c>
      <c r="N24" s="27">
        <v>2.7653348677082131E-2</v>
      </c>
      <c r="O24" s="27">
        <v>2.8424594744214184E-2</v>
      </c>
    </row>
    <row r="25" spans="1:15" x14ac:dyDescent="0.3">
      <c r="A25" s="5">
        <v>45948</v>
      </c>
      <c r="B25" s="32">
        <v>32</v>
      </c>
      <c r="C25" s="25" t="s">
        <v>31</v>
      </c>
      <c r="D25" s="26">
        <v>-3.0309715047291345E-2</v>
      </c>
      <c r="E25" s="26">
        <v>-6.0695943261759255E-2</v>
      </c>
      <c r="F25" s="26">
        <v>1.5989586681937524</v>
      </c>
      <c r="G25" s="26">
        <v>2.1511138637532339</v>
      </c>
      <c r="H25" s="26">
        <v>-33.599213270171035</v>
      </c>
      <c r="I25" s="26">
        <v>-32.524599937872154</v>
      </c>
      <c r="J25" s="36">
        <v>7.5990915785051581E-6</v>
      </c>
      <c r="K25" s="36">
        <v>1.0714562991774896E-5</v>
      </c>
      <c r="L25" s="27">
        <v>2.5342146460342968E-2</v>
      </c>
      <c r="M25" s="27">
        <v>0.17225880801030913</v>
      </c>
      <c r="N25" s="27">
        <v>2.5364338002694858E-2</v>
      </c>
      <c r="O25" s="27">
        <v>2.639255325225345E-2</v>
      </c>
    </row>
    <row r="26" spans="1:15" x14ac:dyDescent="0.3">
      <c r="A26" s="5">
        <v>45949</v>
      </c>
      <c r="B26" s="32">
        <v>33</v>
      </c>
      <c r="C26" s="25" t="s">
        <v>31</v>
      </c>
      <c r="D26" s="26">
        <v>-4.841808531709705E-2</v>
      </c>
      <c r="E26" s="26">
        <v>-6.0231259579685448E-2</v>
      </c>
      <c r="F26" s="26">
        <v>0.57495025334289829</v>
      </c>
      <c r="G26" s="26">
        <v>1.273130343785035</v>
      </c>
      <c r="H26" s="26">
        <v>-33.265842742095195</v>
      </c>
      <c r="I26" s="26">
        <v>-30.645182810108146</v>
      </c>
      <c r="J26" s="36">
        <v>4.5763069617423726E-6</v>
      </c>
      <c r="K26" s="36">
        <v>4.7292089114161983E-6</v>
      </c>
      <c r="L26" s="27">
        <v>2.3579053633322425E-2</v>
      </c>
      <c r="M26" s="27">
        <v>0.14660160617687482</v>
      </c>
      <c r="N26" s="27">
        <v>2.4184649614001946E-2</v>
      </c>
      <c r="O26" s="27">
        <v>2.553042429954025E-2</v>
      </c>
    </row>
    <row r="27" spans="1:15" x14ac:dyDescent="0.3">
      <c r="A27" s="5">
        <v>45950</v>
      </c>
      <c r="B27" s="32">
        <v>34</v>
      </c>
      <c r="C27" s="25" t="s">
        <v>31</v>
      </c>
      <c r="D27" s="26">
        <v>-6.6238463188536753E-2</v>
      </c>
      <c r="E27" s="26">
        <v>-6.4479667996005893E-2</v>
      </c>
      <c r="F27" s="26">
        <v>0.32394225404337035</v>
      </c>
      <c r="G27" s="26">
        <v>0.85768268829256233</v>
      </c>
      <c r="H27" s="26">
        <v>-29.241836675070441</v>
      </c>
      <c r="I27" s="26">
        <v>-25.810031555608894</v>
      </c>
      <c r="J27" s="36">
        <v>2.2531066292371306E-6</v>
      </c>
      <c r="K27" s="36">
        <v>2.3706079230667456E-6</v>
      </c>
      <c r="L27" s="27">
        <v>2.19495604719946E-2</v>
      </c>
      <c r="M27" s="27">
        <v>0.12254249360289292</v>
      </c>
      <c r="N27" s="27">
        <v>2.4887892261721035E-2</v>
      </c>
      <c r="O27" s="27">
        <v>2.4878347729719225E-2</v>
      </c>
    </row>
    <row r="28" spans="1:15" x14ac:dyDescent="0.3">
      <c r="A28" s="5">
        <v>45951</v>
      </c>
      <c r="B28" s="32">
        <v>35</v>
      </c>
      <c r="C28" s="25" t="s">
        <v>31</v>
      </c>
      <c r="D28" s="26">
        <v>-4.8306574786880718E-2</v>
      </c>
      <c r="E28" s="26">
        <v>-5.0783073383585703E-2</v>
      </c>
      <c r="F28" s="26">
        <v>1.1925609343622636</v>
      </c>
      <c r="G28" s="26">
        <v>1.56074217440782</v>
      </c>
      <c r="H28" s="26">
        <v>-29.37050361263055</v>
      </c>
      <c r="I28" s="26">
        <v>-27.469660319445378</v>
      </c>
      <c r="J28" s="36">
        <v>3.5642350888360337E-6</v>
      </c>
      <c r="K28" s="36">
        <v>5.8125695080722993E-6</v>
      </c>
      <c r="L28" s="27">
        <v>1.5464521600605168E-2</v>
      </c>
      <c r="M28" s="27">
        <v>7.4783831052785341E-2</v>
      </c>
      <c r="N28" s="27">
        <v>2.5181729445289871E-2</v>
      </c>
      <c r="O28" s="27">
        <v>2.5884269133370549E-2</v>
      </c>
    </row>
    <row r="29" spans="1:15" x14ac:dyDescent="0.3">
      <c r="J29" s="26"/>
      <c r="K29" s="26"/>
      <c r="L29" s="26"/>
      <c r="M29" s="26"/>
    </row>
    <row r="35" spans="5:6" x14ac:dyDescent="0.3">
      <c r="F35" s="26"/>
    </row>
    <row r="36" spans="5:6" x14ac:dyDescent="0.3">
      <c r="E36" s="26"/>
    </row>
  </sheetData>
  <mergeCells count="7">
    <mergeCell ref="N2:O2"/>
    <mergeCell ref="A2:A3"/>
    <mergeCell ref="D2:E2"/>
    <mergeCell ref="F2:G2"/>
    <mergeCell ref="H2:I2"/>
    <mergeCell ref="J2:K2"/>
    <mergeCell ref="L2:M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19BC-84C3-46E7-B4D1-7C9EC5C3EA5F}">
  <dimension ref="A1:S42"/>
  <sheetViews>
    <sheetView workbookViewId="0"/>
  </sheetViews>
  <sheetFormatPr baseColWidth="10" defaultColWidth="8.88671875" defaultRowHeight="14.4" x14ac:dyDescent="0.3"/>
  <cols>
    <col min="1" max="1" width="10.109375" bestFit="1" customWidth="1"/>
    <col min="2" max="2" width="13.44140625" customWidth="1"/>
    <col min="11" max="11" width="25.21875" bestFit="1" customWidth="1"/>
    <col min="14" max="14" width="10.109375" bestFit="1" customWidth="1"/>
    <col min="17" max="17" width="37.88671875" customWidth="1"/>
  </cols>
  <sheetData>
    <row r="1" spans="1:19" x14ac:dyDescent="0.3">
      <c r="A1" s="23" t="s">
        <v>21</v>
      </c>
    </row>
    <row r="2" spans="1:19" ht="57.6" x14ac:dyDescent="0.3">
      <c r="A2" s="2" t="s">
        <v>0</v>
      </c>
      <c r="B2" s="2" t="s">
        <v>1</v>
      </c>
      <c r="C2" s="1" t="s">
        <v>7</v>
      </c>
      <c r="D2" s="1" t="s">
        <v>5</v>
      </c>
      <c r="E2" s="1" t="s">
        <v>6</v>
      </c>
      <c r="F2" s="14" t="s">
        <v>2</v>
      </c>
      <c r="G2" s="14" t="s">
        <v>3</v>
      </c>
      <c r="H2" s="1" t="s">
        <v>12</v>
      </c>
      <c r="I2" s="14" t="s">
        <v>13</v>
      </c>
      <c r="J2" s="1" t="s">
        <v>8</v>
      </c>
      <c r="K2" s="1" t="s">
        <v>4</v>
      </c>
      <c r="M2" s="15" t="s">
        <v>14</v>
      </c>
      <c r="N2" s="16" t="s">
        <v>15</v>
      </c>
      <c r="P2" s="17" t="s">
        <v>16</v>
      </c>
      <c r="Q2" s="1" t="s">
        <v>17</v>
      </c>
    </row>
    <row r="3" spans="1:19" x14ac:dyDescent="0.3">
      <c r="A3" s="5">
        <v>45904</v>
      </c>
      <c r="B3" s="3" t="s">
        <v>9</v>
      </c>
      <c r="C3" s="9">
        <v>0.8</v>
      </c>
      <c r="D3" s="6">
        <v>5.0000000000000001E-3</v>
      </c>
      <c r="E3" s="7">
        <v>0.25</v>
      </c>
      <c r="F3" s="8">
        <v>87.8</v>
      </c>
      <c r="G3" s="8">
        <v>92.3</v>
      </c>
      <c r="H3" s="3">
        <v>100.28</v>
      </c>
      <c r="I3" s="10">
        <f>(((F3/100)+(G3/100))/2)*H3</f>
        <v>90.302139999999994</v>
      </c>
      <c r="J3" s="3">
        <v>23.9</v>
      </c>
      <c r="K3" s="40" t="s">
        <v>19</v>
      </c>
      <c r="M3" s="3" t="s">
        <v>11</v>
      </c>
      <c r="N3" s="3" t="s">
        <v>11</v>
      </c>
      <c r="P3" s="18"/>
    </row>
    <row r="4" spans="1:19" x14ac:dyDescent="0.3">
      <c r="A4" s="5">
        <v>45904</v>
      </c>
      <c r="B4" s="3" t="s">
        <v>10</v>
      </c>
      <c r="C4" s="9">
        <v>0.8</v>
      </c>
      <c r="D4" s="6">
        <v>5.0000000000000001E-3</v>
      </c>
      <c r="E4" s="7">
        <v>0.25</v>
      </c>
      <c r="F4" s="8">
        <v>84.5</v>
      </c>
      <c r="G4" s="8">
        <v>87.2</v>
      </c>
      <c r="H4" s="3">
        <v>100.27</v>
      </c>
      <c r="I4" s="10">
        <f>(((F4/100)+(G4/100))/2)*H4</f>
        <v>86.081795</v>
      </c>
      <c r="J4" s="3">
        <v>17.100000000000001</v>
      </c>
      <c r="K4" s="40"/>
      <c r="M4" s="3" t="s">
        <v>11</v>
      </c>
      <c r="N4" s="3" t="s">
        <v>11</v>
      </c>
      <c r="P4" s="18"/>
    </row>
    <row r="5" spans="1:19" x14ac:dyDescent="0.3">
      <c r="C5" s="3"/>
      <c r="D5" s="3"/>
      <c r="F5" s="3"/>
      <c r="G5" s="3"/>
      <c r="H5" s="3"/>
      <c r="J5" s="3"/>
      <c r="K5" s="40"/>
      <c r="P5" s="18"/>
    </row>
    <row r="6" spans="1:19" x14ac:dyDescent="0.3">
      <c r="A6" s="5">
        <v>45909</v>
      </c>
      <c r="B6" s="3" t="s">
        <v>9</v>
      </c>
      <c r="C6" s="9">
        <v>0.8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J6" s="3"/>
      <c r="K6" s="40"/>
      <c r="M6" s="3" t="s">
        <v>11</v>
      </c>
      <c r="N6" s="22">
        <v>0.1</v>
      </c>
      <c r="P6" s="19">
        <v>54.7</v>
      </c>
      <c r="Q6" s="39" t="s">
        <v>18</v>
      </c>
    </row>
    <row r="7" spans="1:19" x14ac:dyDescent="0.3">
      <c r="A7" s="5">
        <v>45910</v>
      </c>
      <c r="B7" s="3" t="s">
        <v>10</v>
      </c>
      <c r="C7" s="9">
        <v>0.8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J7" s="3"/>
      <c r="K7" s="40"/>
      <c r="M7" s="3" t="s">
        <v>11</v>
      </c>
      <c r="N7" s="22">
        <v>0.1</v>
      </c>
      <c r="P7" s="19">
        <v>57.1</v>
      </c>
      <c r="Q7" s="39"/>
    </row>
    <row r="8" spans="1:19" x14ac:dyDescent="0.3">
      <c r="C8" s="3"/>
      <c r="D8" s="3"/>
      <c r="F8" s="3"/>
      <c r="G8" s="3"/>
      <c r="H8" s="3"/>
      <c r="J8" s="3"/>
      <c r="K8" s="40"/>
      <c r="M8" s="3"/>
      <c r="P8" s="19"/>
      <c r="Q8" s="39"/>
    </row>
    <row r="9" spans="1:19" x14ac:dyDescent="0.3">
      <c r="A9" s="5">
        <v>45910</v>
      </c>
      <c r="B9" s="3" t="s">
        <v>9</v>
      </c>
      <c r="C9" s="9">
        <v>0.8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J9" s="3">
        <v>25.1</v>
      </c>
      <c r="K9" s="40"/>
      <c r="M9" s="12">
        <v>83.6</v>
      </c>
      <c r="N9" s="11">
        <v>5.0000000000000001E-3</v>
      </c>
      <c r="P9" s="8">
        <f>M9</f>
        <v>83.6</v>
      </c>
      <c r="Q9" s="39"/>
    </row>
    <row r="10" spans="1:19" x14ac:dyDescent="0.3">
      <c r="A10" s="5">
        <v>45910</v>
      </c>
      <c r="B10" s="3" t="s">
        <v>10</v>
      </c>
      <c r="C10" s="9">
        <v>0.8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J10" s="13">
        <v>17</v>
      </c>
      <c r="K10" s="40"/>
      <c r="M10" s="12">
        <v>80.8</v>
      </c>
      <c r="N10" s="11">
        <v>5.0000000000000001E-3</v>
      </c>
      <c r="P10" s="8">
        <f>M10</f>
        <v>80.8</v>
      </c>
      <c r="Q10" s="39"/>
    </row>
    <row r="11" spans="1:19" x14ac:dyDescent="0.3">
      <c r="A11" s="5"/>
      <c r="B11" s="3"/>
      <c r="C11" s="9"/>
      <c r="D11" s="3"/>
      <c r="E11" s="3"/>
      <c r="F11" s="3"/>
      <c r="G11" s="3"/>
      <c r="H11" s="3"/>
      <c r="J11" s="13"/>
      <c r="K11" s="4"/>
      <c r="M11" s="12"/>
      <c r="N11" s="11"/>
      <c r="P11" s="19"/>
    </row>
    <row r="12" spans="1:19" x14ac:dyDescent="0.3">
      <c r="C12" s="3"/>
      <c r="D12" s="3"/>
      <c r="F12" s="3"/>
      <c r="G12" s="3"/>
      <c r="H12" s="3"/>
      <c r="J12" s="3"/>
      <c r="K12" s="4"/>
      <c r="M12" s="3"/>
      <c r="P12" s="19"/>
    </row>
    <row r="13" spans="1:19" x14ac:dyDescent="0.3">
      <c r="A13" s="5">
        <v>45953</v>
      </c>
      <c r="B13" s="3" t="s">
        <v>9</v>
      </c>
      <c r="C13" s="9">
        <v>0.8</v>
      </c>
      <c r="D13" s="6">
        <v>5.0000000000000001E-3</v>
      </c>
      <c r="E13" s="7">
        <v>0.25</v>
      </c>
      <c r="F13" s="8">
        <v>86</v>
      </c>
      <c r="G13" s="8">
        <v>87.3</v>
      </c>
      <c r="H13" s="3">
        <v>100.28</v>
      </c>
      <c r="I13" s="10">
        <f>(((F13/100)+(G13/100))/2)*H13</f>
        <v>86.892620000000008</v>
      </c>
      <c r="J13" s="3">
        <v>23</v>
      </c>
      <c r="K13" s="40" t="s">
        <v>20</v>
      </c>
      <c r="M13" s="3"/>
      <c r="P13" s="19"/>
    </row>
    <row r="14" spans="1:19" x14ac:dyDescent="0.3">
      <c r="A14" s="5">
        <v>45953</v>
      </c>
      <c r="B14" s="3" t="s">
        <v>10</v>
      </c>
      <c r="C14" s="9">
        <v>0.8</v>
      </c>
      <c r="D14" s="6">
        <v>5.0000000000000001E-3</v>
      </c>
      <c r="E14" s="7">
        <v>0.25</v>
      </c>
      <c r="F14" s="8">
        <v>80.099999999999994</v>
      </c>
      <c r="G14" s="8">
        <v>82.3</v>
      </c>
      <c r="H14" s="3">
        <v>100.26</v>
      </c>
      <c r="I14" s="10">
        <f>(((F14/100)+(G14/100))/2)*H14</f>
        <v>81.411119999999997</v>
      </c>
      <c r="J14" s="3">
        <v>16.7</v>
      </c>
      <c r="K14" s="40"/>
      <c r="M14" s="3"/>
      <c r="P14" s="19"/>
    </row>
    <row r="15" spans="1:19" x14ac:dyDescent="0.3">
      <c r="C15" s="3"/>
      <c r="D15" s="3"/>
      <c r="F15" s="3"/>
      <c r="G15" s="3"/>
      <c r="H15" s="3"/>
      <c r="J15" s="3"/>
      <c r="K15" s="40"/>
      <c r="M15" s="3"/>
      <c r="P15" s="19"/>
    </row>
    <row r="16" spans="1:19" x14ac:dyDescent="0.3">
      <c r="A16" s="5">
        <v>45957</v>
      </c>
      <c r="B16" s="3" t="s">
        <v>9</v>
      </c>
      <c r="C16" s="9">
        <v>0.8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11</v>
      </c>
      <c r="J16" s="3"/>
      <c r="K16" s="40"/>
      <c r="M16" s="3" t="s">
        <v>11</v>
      </c>
      <c r="N16" s="22">
        <v>0.1</v>
      </c>
      <c r="P16" s="19">
        <v>46.2</v>
      </c>
      <c r="Q16" s="39" t="s">
        <v>18</v>
      </c>
      <c r="S16" s="3"/>
    </row>
    <row r="17" spans="1:19" x14ac:dyDescent="0.3">
      <c r="A17" s="5">
        <v>45958</v>
      </c>
      <c r="B17" s="3" t="s">
        <v>10</v>
      </c>
      <c r="C17" s="9">
        <v>0.8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J17" s="3"/>
      <c r="K17" s="40"/>
      <c r="M17" s="3" t="s">
        <v>11</v>
      </c>
      <c r="N17" s="22">
        <v>0.1</v>
      </c>
      <c r="P17" s="19">
        <v>45.8</v>
      </c>
      <c r="Q17" s="39"/>
      <c r="S17" s="3"/>
    </row>
    <row r="18" spans="1:19" x14ac:dyDescent="0.3">
      <c r="C18" s="3"/>
      <c r="D18" s="3"/>
      <c r="F18" s="3"/>
      <c r="G18" s="3"/>
      <c r="H18" s="3"/>
      <c r="J18" s="3"/>
      <c r="K18" s="40"/>
      <c r="M18" s="3"/>
      <c r="P18" s="19"/>
      <c r="Q18" s="39"/>
      <c r="S18" s="3"/>
    </row>
    <row r="19" spans="1:19" x14ac:dyDescent="0.3">
      <c r="A19" s="5">
        <v>45959</v>
      </c>
      <c r="B19" s="3" t="s">
        <v>9</v>
      </c>
      <c r="C19" s="9">
        <v>0.8</v>
      </c>
      <c r="D19" s="3" t="s">
        <v>11</v>
      </c>
      <c r="E19" s="3" t="s">
        <v>11</v>
      </c>
      <c r="F19" s="3" t="s">
        <v>11</v>
      </c>
      <c r="G19" s="3" t="s">
        <v>11</v>
      </c>
      <c r="H19" s="3" t="s">
        <v>11</v>
      </c>
      <c r="J19" s="3">
        <v>24.1</v>
      </c>
      <c r="K19" s="40"/>
      <c r="M19" s="12">
        <v>85.5</v>
      </c>
      <c r="N19" s="11">
        <v>5.0000000000000001E-3</v>
      </c>
      <c r="P19" s="8">
        <f>M19</f>
        <v>85.5</v>
      </c>
      <c r="Q19" s="39"/>
      <c r="S19" s="3"/>
    </row>
    <row r="20" spans="1:19" x14ac:dyDescent="0.3">
      <c r="A20" s="5">
        <v>45960</v>
      </c>
      <c r="B20" s="3" t="s">
        <v>10</v>
      </c>
      <c r="C20" s="9">
        <v>0.8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J20" s="13">
        <v>16.7</v>
      </c>
      <c r="K20" s="40"/>
      <c r="M20" s="12">
        <v>79.599999999999994</v>
      </c>
      <c r="N20" s="11">
        <v>5.0000000000000001E-3</v>
      </c>
      <c r="P20" s="8">
        <f>M20</f>
        <v>79.599999999999994</v>
      </c>
      <c r="Q20" s="39"/>
      <c r="S20" s="3"/>
    </row>
    <row r="21" spans="1:19" x14ac:dyDescent="0.3">
      <c r="S21" s="3"/>
    </row>
    <row r="22" spans="1:19" x14ac:dyDescent="0.3">
      <c r="B22" s="5"/>
      <c r="F22" s="3"/>
      <c r="S22" s="3"/>
    </row>
    <row r="23" spans="1:19" x14ac:dyDescent="0.3">
      <c r="B23" s="3"/>
      <c r="C23" s="3"/>
      <c r="D23" s="9"/>
      <c r="E23" s="3"/>
      <c r="F23" s="3"/>
      <c r="G23" s="3"/>
      <c r="N23" s="3"/>
      <c r="Q23" s="3"/>
      <c r="S23" s="3"/>
    </row>
    <row r="24" spans="1:19" x14ac:dyDescent="0.3">
      <c r="B24" s="3"/>
      <c r="C24" s="3"/>
      <c r="D24" s="9"/>
      <c r="E24" s="3"/>
      <c r="F24" s="3"/>
      <c r="G24" s="3"/>
      <c r="N24" s="3"/>
      <c r="Q24" s="3"/>
      <c r="S24" s="3"/>
    </row>
    <row r="25" spans="1:19" x14ac:dyDescent="0.3">
      <c r="B25" s="3"/>
      <c r="C25" s="3"/>
      <c r="D25" s="3"/>
      <c r="E25" s="3"/>
      <c r="F25" s="3"/>
      <c r="G25" s="3"/>
      <c r="N25" s="3"/>
      <c r="Q25" s="3"/>
      <c r="S25" s="3"/>
    </row>
    <row r="26" spans="1:19" x14ac:dyDescent="0.3">
      <c r="B26" s="9"/>
      <c r="C26" s="3"/>
      <c r="D26" s="9"/>
      <c r="E26" s="3"/>
      <c r="F26" s="3"/>
      <c r="G26" s="3"/>
      <c r="P26" s="20"/>
      <c r="S26" s="3"/>
    </row>
    <row r="27" spans="1:19" x14ac:dyDescent="0.3">
      <c r="B27" s="3"/>
      <c r="C27" s="3"/>
      <c r="D27" s="9"/>
      <c r="E27" s="3"/>
      <c r="F27" s="3"/>
      <c r="G27" s="3"/>
      <c r="P27" s="20"/>
      <c r="S27" s="3"/>
    </row>
    <row r="28" spans="1:19" x14ac:dyDescent="0.3">
      <c r="B28" s="3"/>
      <c r="C28" s="3"/>
      <c r="D28" s="3"/>
      <c r="E28" s="3"/>
      <c r="F28" s="3"/>
      <c r="G28" s="3"/>
      <c r="Q28" s="21"/>
      <c r="S28" s="3"/>
    </row>
    <row r="29" spans="1:19" x14ac:dyDescent="0.3">
      <c r="B29" s="9"/>
      <c r="C29" s="3"/>
      <c r="D29" s="9"/>
      <c r="E29" s="3"/>
      <c r="F29" s="3"/>
      <c r="G29" s="3"/>
      <c r="P29" s="20"/>
      <c r="Q29" s="21"/>
      <c r="S29" s="3"/>
    </row>
    <row r="30" spans="1:19" x14ac:dyDescent="0.3">
      <c r="B30" s="3"/>
      <c r="C30" s="3"/>
      <c r="D30" s="9"/>
      <c r="E30" s="3"/>
      <c r="F30" s="3"/>
      <c r="G30" s="3"/>
      <c r="P30" s="20"/>
      <c r="Q30" s="21"/>
      <c r="S30" s="3"/>
    </row>
    <row r="31" spans="1:19" x14ac:dyDescent="0.3">
      <c r="B31" s="3"/>
      <c r="C31" s="3"/>
      <c r="D31" s="3"/>
      <c r="E31" s="3"/>
      <c r="F31" s="3"/>
      <c r="G31" s="3"/>
      <c r="Q31" s="21"/>
      <c r="S31" s="3"/>
    </row>
    <row r="32" spans="1:19" x14ac:dyDescent="0.3">
      <c r="B32" s="3"/>
      <c r="C32" s="3"/>
      <c r="D32" s="9"/>
      <c r="E32" s="3"/>
      <c r="F32" s="3"/>
      <c r="G32" s="3"/>
      <c r="Q32" s="21"/>
      <c r="S32" s="3"/>
    </row>
    <row r="33" spans="2:17" x14ac:dyDescent="0.3">
      <c r="B33" s="3"/>
      <c r="C33" s="3"/>
      <c r="D33" s="9"/>
      <c r="E33" s="3"/>
      <c r="F33" s="3"/>
      <c r="G33" s="3"/>
      <c r="Q33" s="21"/>
    </row>
    <row r="34" spans="2:17" x14ac:dyDescent="0.3">
      <c r="B34" s="3"/>
      <c r="C34" s="3"/>
      <c r="D34" s="3"/>
      <c r="E34" s="3"/>
      <c r="F34" s="3"/>
      <c r="G34" s="3"/>
      <c r="Q34" s="21"/>
    </row>
    <row r="35" spans="2:17" x14ac:dyDescent="0.3">
      <c r="B35" s="9"/>
      <c r="C35" s="3"/>
      <c r="D35" s="9"/>
      <c r="E35" s="3"/>
      <c r="F35" s="3"/>
      <c r="G35" s="3"/>
      <c r="P35" s="20"/>
      <c r="Q35" s="21"/>
    </row>
    <row r="36" spans="2:17" x14ac:dyDescent="0.3">
      <c r="B36" s="3"/>
      <c r="C36" s="3"/>
      <c r="D36" s="9"/>
      <c r="E36" s="3"/>
      <c r="F36" s="3"/>
      <c r="G36" s="3"/>
      <c r="P36" s="20"/>
      <c r="Q36" s="21"/>
    </row>
    <row r="37" spans="2:17" x14ac:dyDescent="0.3">
      <c r="B37" s="3"/>
      <c r="C37" s="3"/>
      <c r="D37" s="3"/>
      <c r="E37" s="3"/>
      <c r="F37" s="3"/>
      <c r="G37" s="3"/>
      <c r="Q37" s="21"/>
    </row>
    <row r="38" spans="2:17" x14ac:dyDescent="0.3">
      <c r="B38" s="9"/>
      <c r="C38" s="3"/>
      <c r="D38" s="9"/>
      <c r="E38" s="3"/>
      <c r="F38" s="3"/>
      <c r="G38" s="3"/>
      <c r="P38" s="20"/>
      <c r="Q38" s="21"/>
    </row>
    <row r="39" spans="2:17" x14ac:dyDescent="0.3">
      <c r="B39" s="3"/>
      <c r="C39" s="3"/>
      <c r="D39" s="9"/>
      <c r="E39" s="3"/>
      <c r="F39" s="3"/>
      <c r="G39" s="3"/>
      <c r="P39" s="20"/>
      <c r="Q39" s="21"/>
    </row>
    <row r="40" spans="2:17" x14ac:dyDescent="0.3">
      <c r="Q40" s="21"/>
    </row>
    <row r="41" spans="2:17" x14ac:dyDescent="0.3">
      <c r="Q41" s="21"/>
    </row>
    <row r="42" spans="2:17" x14ac:dyDescent="0.3">
      <c r="Q42" s="21"/>
    </row>
  </sheetData>
  <mergeCells count="4">
    <mergeCell ref="Q6:Q10"/>
    <mergeCell ref="Q16:Q20"/>
    <mergeCell ref="K3:K10"/>
    <mergeCell ref="K13:K2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Experiment</vt:lpstr>
      <vt:lpstr>Moisture</vt:lpstr>
      <vt:lpstr>Recovery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Meese  Susanne</dc:creator>
  <cp:lastModifiedBy>Amelchanka  Sergej</cp:lastModifiedBy>
  <cp:lastPrinted>2021-10-01T07:00:09Z</cp:lastPrinted>
  <dcterms:created xsi:type="dcterms:W3CDTF">2020-11-16T05:42:45Z</dcterms:created>
  <dcterms:modified xsi:type="dcterms:W3CDTF">2026-01-08T13:28:47Z</dcterms:modified>
</cp:coreProperties>
</file>